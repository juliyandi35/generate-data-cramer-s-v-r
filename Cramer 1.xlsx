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P46601024 (Generate data Cramer's V)\"/>
    </mc:Choice>
  </mc:AlternateContent>
  <xr:revisionPtr revIDLastSave="0" documentId="13_ncr:1_{AC0EDD4E-8A3E-483E-AA84-08BDD5208F79}" xr6:coauthVersionLast="47" xr6:coauthVersionMax="47" xr10:uidLastSave="{00000000-0000-0000-0000-000000000000}"/>
  <bookViews>
    <workbookView minimized="1" xWindow="1860" yWindow="1860" windowWidth="14400" windowHeight="7270" activeTab="1" xr2:uid="{00000000-000D-0000-FFFF-FFFF00000000}"/>
  </bookViews>
  <sheets>
    <sheet name="Cramer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2" l="1"/>
  <c r="M5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H18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H10" i="1"/>
  <c r="L10" i="1" s="1"/>
  <c r="I10" i="1"/>
  <c r="J10" i="1"/>
  <c r="K10" i="1"/>
  <c r="H11" i="1"/>
  <c r="H12" i="1"/>
  <c r="H33" i="1"/>
  <c r="H34" i="1"/>
  <c r="H35" i="1"/>
  <c r="I12" i="1"/>
  <c r="J12" i="1"/>
  <c r="K12" i="1"/>
  <c r="L12" i="1" s="1"/>
  <c r="I11" i="1"/>
  <c r="J11" i="1"/>
  <c r="K11" i="1"/>
  <c r="K13" i="1" s="1"/>
  <c r="I13" i="1"/>
  <c r="H5" i="2" l="1"/>
  <c r="M7" i="2"/>
  <c r="I6" i="2"/>
  <c r="H6" i="2"/>
  <c r="I5" i="2"/>
  <c r="L13" i="1"/>
  <c r="J20" i="1" s="1"/>
  <c r="J28" i="1" s="1"/>
  <c r="J13" i="1"/>
  <c r="L11" i="1"/>
  <c r="H13" i="1"/>
  <c r="H7" i="2" l="1"/>
  <c r="J5" i="2"/>
  <c r="J6" i="2"/>
  <c r="I7" i="2"/>
  <c r="I20" i="1"/>
  <c r="I28" i="1" s="1"/>
  <c r="H20" i="1"/>
  <c r="J18" i="1"/>
  <c r="K20" i="1"/>
  <c r="K28" i="1" s="1"/>
  <c r="I18" i="1"/>
  <c r="H19" i="1"/>
  <c r="I19" i="1"/>
  <c r="I27" i="1" s="1"/>
  <c r="J19" i="1"/>
  <c r="J27" i="1" s="1"/>
  <c r="K19" i="1"/>
  <c r="K27" i="1" s="1"/>
  <c r="K18" i="1"/>
  <c r="J7" i="2" l="1"/>
  <c r="H12" i="2" s="1"/>
  <c r="L19" i="1"/>
  <c r="H27" i="1"/>
  <c r="L27" i="1" s="1"/>
  <c r="L18" i="1"/>
  <c r="H32" i="1"/>
  <c r="H37" i="1" s="1"/>
  <c r="H21" i="1"/>
  <c r="H26" i="1"/>
  <c r="I21" i="1"/>
  <c r="I26" i="1"/>
  <c r="I29" i="1" s="1"/>
  <c r="K21" i="1"/>
  <c r="K26" i="1"/>
  <c r="K29" i="1" s="1"/>
  <c r="J21" i="1"/>
  <c r="J26" i="1"/>
  <c r="J29" i="1" s="1"/>
  <c r="L20" i="1"/>
  <c r="H28" i="1"/>
  <c r="L28" i="1" s="1"/>
  <c r="H13" i="2" l="1"/>
  <c r="H20" i="2" s="1"/>
  <c r="I13" i="2"/>
  <c r="I20" i="2" s="1"/>
  <c r="I12" i="2"/>
  <c r="L21" i="1"/>
  <c r="L26" i="1"/>
  <c r="L29" i="1" s="1"/>
  <c r="H31" i="1" s="1"/>
  <c r="H36" i="1" s="1"/>
  <c r="H29" i="1"/>
  <c r="J13" i="2" l="1"/>
  <c r="J20" i="2"/>
  <c r="J12" i="2"/>
  <c r="H14" i="2"/>
  <c r="M4" i="2"/>
  <c r="M9" i="2" s="1"/>
  <c r="H19" i="2"/>
  <c r="I14" i="2"/>
  <c r="I19" i="2"/>
  <c r="I21" i="2" s="1"/>
  <c r="J14" i="2" l="1"/>
  <c r="J19" i="2"/>
  <c r="J21" i="2" s="1"/>
  <c r="M3" i="2" s="1"/>
  <c r="M8" i="2" s="1"/>
  <c r="H21" i="2"/>
</calcChain>
</file>

<file path=xl/sharedStrings.xml><?xml version="1.0" encoding="utf-8"?>
<sst xmlns="http://schemas.openxmlformats.org/spreadsheetml/2006/main" count="56" uniqueCount="20">
  <si>
    <t>Uji Cramer</t>
  </si>
  <si>
    <t>http://www.statistikian.com</t>
  </si>
  <si>
    <t>Resp</t>
  </si>
  <si>
    <t>Var 1</t>
  </si>
  <si>
    <t>Var 2</t>
  </si>
  <si>
    <t>CONCATENATE</t>
  </si>
  <si>
    <t>Tabel Silang</t>
  </si>
  <si>
    <t>F0</t>
  </si>
  <si>
    <t>Total</t>
  </si>
  <si>
    <t>Fh</t>
  </si>
  <si>
    <t>(F0 - Fh)2 / Fh</t>
  </si>
  <si>
    <t>X2</t>
  </si>
  <si>
    <t>P Value X2</t>
  </si>
  <si>
    <t>Row</t>
  </si>
  <si>
    <t>Column</t>
  </si>
  <si>
    <t>Terkecil</t>
  </si>
  <si>
    <t>Cramer</t>
  </si>
  <si>
    <t>Sig =</t>
  </si>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</sst>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u/>
      <sz val="18"/>
      <color rgb="FFFFFFFF"/>
      <name val="Calibri"/>
      <family val="2"/>
      <charset val="1"/>
      <scheme val="minor"/>
    </font>
    <font>
      <sz val="14"/>
      <color rgb="FFFFFFFF"/>
      <name val="Calibri"/>
      <family val="2"/>
      <charset val="1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3" borderId="0" xfId="0" applyFill="1"/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4" borderId="1" xfId="0" applyFont="1" applyFill="1" applyBorder="1"/>
    <xf numFmtId="0" fontId="0" fillId="6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4" fillId="11" borderId="0" xfId="0" applyFont="1" applyFill="1" applyAlignment="1">
      <alignment horizontal="center"/>
    </xf>
    <xf numFmtId="0" fontId="3" fillId="2" borderId="0" xfId="1" applyFont="1" applyFill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istikia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opLeftCell="A10" workbookViewId="0">
      <selection activeCell="H19" sqref="A1:XFD1048576"/>
    </sheetView>
  </sheetViews>
  <sheetFormatPr defaultColWidth="9.1796875" defaultRowHeight="14.5" x14ac:dyDescent="0.35"/>
  <cols>
    <col min="1" max="3" width="9.1796875" style="3"/>
    <col min="4" max="4" width="3.453125" style="1" customWidth="1"/>
    <col min="5" max="5" width="14" style="3" customWidth="1"/>
    <col min="6" max="6" width="2.81640625" style="1" customWidth="1"/>
    <col min="7" max="7" width="11.81640625" style="1" customWidth="1"/>
    <col min="8" max="16384" width="9.1796875" style="1"/>
  </cols>
  <sheetData>
    <row r="1" spans="1:12" ht="18.5" x14ac:dyDescent="0.4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x14ac:dyDescent="0.35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x14ac:dyDescent="0.3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5" spans="1:12" x14ac:dyDescent="0.35">
      <c r="A5" s="5" t="s">
        <v>2</v>
      </c>
      <c r="B5" s="5" t="s">
        <v>3</v>
      </c>
      <c r="C5" s="5" t="s">
        <v>4</v>
      </c>
      <c r="E5" s="5" t="s">
        <v>5</v>
      </c>
      <c r="G5" s="12" t="s">
        <v>6</v>
      </c>
      <c r="H5" s="12"/>
      <c r="I5" s="12"/>
      <c r="J5" s="12"/>
      <c r="K5" s="12"/>
      <c r="L5" s="12"/>
    </row>
    <row r="6" spans="1:12" x14ac:dyDescent="0.35">
      <c r="A6" s="4">
        <v>1</v>
      </c>
      <c r="B6" s="4">
        <v>1</v>
      </c>
      <c r="C6" s="4">
        <v>2</v>
      </c>
      <c r="E6" s="6" t="str">
        <f>CONCATENATE(B6,C6)</f>
        <v>12</v>
      </c>
    </row>
    <row r="7" spans="1:12" x14ac:dyDescent="0.35">
      <c r="A7" s="4">
        <v>2</v>
      </c>
      <c r="B7" s="4">
        <v>1</v>
      </c>
      <c r="C7" s="4">
        <v>1</v>
      </c>
      <c r="E7" s="6" t="str">
        <f t="shared" ref="E7:E25" si="0">CONCATENATE(B7,C7)</f>
        <v>11</v>
      </c>
      <c r="G7" s="1" t="s">
        <v>7</v>
      </c>
    </row>
    <row r="8" spans="1:12" x14ac:dyDescent="0.35">
      <c r="A8" s="4">
        <v>3</v>
      </c>
      <c r="B8" s="4">
        <v>2</v>
      </c>
      <c r="C8" s="4">
        <v>2</v>
      </c>
      <c r="E8" s="6" t="str">
        <f t="shared" si="0"/>
        <v>22</v>
      </c>
      <c r="G8" s="13" t="s">
        <v>3</v>
      </c>
      <c r="H8" s="13" t="s">
        <v>4</v>
      </c>
      <c r="I8" s="13"/>
      <c r="J8" s="13"/>
      <c r="K8" s="13"/>
      <c r="L8" s="14" t="s">
        <v>8</v>
      </c>
    </row>
    <row r="9" spans="1:12" x14ac:dyDescent="0.35">
      <c r="A9" s="4">
        <v>4</v>
      </c>
      <c r="B9" s="4">
        <v>1</v>
      </c>
      <c r="C9" s="4">
        <v>4</v>
      </c>
      <c r="E9" s="6" t="str">
        <f t="shared" si="0"/>
        <v>14</v>
      </c>
      <c r="G9" s="13"/>
      <c r="H9" s="8">
        <v>1</v>
      </c>
      <c r="I9" s="8">
        <v>2</v>
      </c>
      <c r="J9" s="8">
        <v>3</v>
      </c>
      <c r="K9" s="8">
        <v>4</v>
      </c>
      <c r="L9" s="15"/>
    </row>
    <row r="10" spans="1:12" x14ac:dyDescent="0.35">
      <c r="A10" s="4">
        <v>5</v>
      </c>
      <c r="B10" s="4">
        <v>2</v>
      </c>
      <c r="C10" s="4">
        <v>2</v>
      </c>
      <c r="E10" s="6" t="str">
        <f t="shared" si="0"/>
        <v>22</v>
      </c>
      <c r="G10" s="8">
        <v>1</v>
      </c>
      <c r="H10" s="2">
        <f>COUNTIF($E$6:$E$25,CONCATENATE($G10,H$9))</f>
        <v>8</v>
      </c>
      <c r="I10" s="2">
        <f t="shared" ref="I10:K12" si="1">COUNTIF($E$6:$E$25,CONCATENATE($G10,I$9))</f>
        <v>1</v>
      </c>
      <c r="J10" s="2">
        <f t="shared" si="1"/>
        <v>1</v>
      </c>
      <c r="K10" s="2">
        <f t="shared" si="1"/>
        <v>2</v>
      </c>
      <c r="L10" s="8">
        <f>SUM(H10:K10)</f>
        <v>12</v>
      </c>
    </row>
    <row r="11" spans="1:12" x14ac:dyDescent="0.35">
      <c r="A11" s="4">
        <v>6</v>
      </c>
      <c r="B11" s="4">
        <v>1</v>
      </c>
      <c r="C11" s="4">
        <v>4</v>
      </c>
      <c r="E11" s="6" t="str">
        <f t="shared" si="0"/>
        <v>14</v>
      </c>
      <c r="G11" s="8">
        <v>2</v>
      </c>
      <c r="H11" s="2">
        <f>COUNTIF($E$6:$E$25,CONCATENATE($G11,H$9))</f>
        <v>0</v>
      </c>
      <c r="I11" s="2">
        <f t="shared" si="1"/>
        <v>3</v>
      </c>
      <c r="J11" s="2">
        <f t="shared" si="1"/>
        <v>1</v>
      </c>
      <c r="K11" s="2">
        <f t="shared" si="1"/>
        <v>1</v>
      </c>
      <c r="L11" s="8">
        <f t="shared" ref="L11:L12" si="2">SUM(H11:K11)</f>
        <v>5</v>
      </c>
    </row>
    <row r="12" spans="1:12" x14ac:dyDescent="0.35">
      <c r="A12" s="4">
        <v>7</v>
      </c>
      <c r="B12" s="4">
        <v>1</v>
      </c>
      <c r="C12" s="4">
        <v>1</v>
      </c>
      <c r="E12" s="6" t="str">
        <f t="shared" si="0"/>
        <v>11</v>
      </c>
      <c r="G12" s="8">
        <v>3</v>
      </c>
      <c r="H12" s="2">
        <f>COUNTIF($E$6:$E$25,CONCATENATE($G12,H$9))</f>
        <v>0</v>
      </c>
      <c r="I12" s="2">
        <f t="shared" si="1"/>
        <v>0</v>
      </c>
      <c r="J12" s="2">
        <f t="shared" si="1"/>
        <v>3</v>
      </c>
      <c r="K12" s="2">
        <f t="shared" si="1"/>
        <v>0</v>
      </c>
      <c r="L12" s="8">
        <f t="shared" si="2"/>
        <v>3</v>
      </c>
    </row>
    <row r="13" spans="1:12" x14ac:dyDescent="0.35">
      <c r="A13" s="4">
        <v>8</v>
      </c>
      <c r="B13" s="4">
        <v>2</v>
      </c>
      <c r="C13" s="4">
        <v>3</v>
      </c>
      <c r="E13" s="6" t="str">
        <f t="shared" si="0"/>
        <v>23</v>
      </c>
      <c r="G13" s="7" t="s">
        <v>8</v>
      </c>
      <c r="H13" s="8">
        <f>SUM(H10:H12)</f>
        <v>8</v>
      </c>
      <c r="I13" s="8">
        <f t="shared" ref="I13:L13" si="3">SUM(I10:I12)</f>
        <v>4</v>
      </c>
      <c r="J13" s="8">
        <f t="shared" si="3"/>
        <v>5</v>
      </c>
      <c r="K13" s="8">
        <f t="shared" si="3"/>
        <v>3</v>
      </c>
      <c r="L13" s="7">
        <f t="shared" si="3"/>
        <v>20</v>
      </c>
    </row>
    <row r="14" spans="1:12" x14ac:dyDescent="0.35">
      <c r="A14" s="4">
        <v>9</v>
      </c>
      <c r="B14" s="4">
        <v>1</v>
      </c>
      <c r="C14" s="4">
        <v>1</v>
      </c>
      <c r="E14" s="6" t="str">
        <f t="shared" si="0"/>
        <v>11</v>
      </c>
    </row>
    <row r="15" spans="1:12" x14ac:dyDescent="0.35">
      <c r="A15" s="4">
        <v>10</v>
      </c>
      <c r="B15" s="4">
        <v>3</v>
      </c>
      <c r="C15" s="4">
        <v>3</v>
      </c>
      <c r="E15" s="6" t="str">
        <f t="shared" si="0"/>
        <v>33</v>
      </c>
      <c r="G15" s="1" t="s">
        <v>9</v>
      </c>
    </row>
    <row r="16" spans="1:12" x14ac:dyDescent="0.35">
      <c r="A16" s="4">
        <v>11</v>
      </c>
      <c r="B16" s="4">
        <v>1</v>
      </c>
      <c r="C16" s="4">
        <v>1</v>
      </c>
      <c r="E16" s="6" t="str">
        <f t="shared" si="0"/>
        <v>11</v>
      </c>
      <c r="G16" s="13" t="s">
        <v>3</v>
      </c>
      <c r="H16" s="13" t="s">
        <v>4</v>
      </c>
      <c r="I16" s="13"/>
      <c r="J16" s="13"/>
      <c r="K16" s="13"/>
      <c r="L16" s="14" t="s">
        <v>8</v>
      </c>
    </row>
    <row r="17" spans="1:12" x14ac:dyDescent="0.35">
      <c r="A17" s="4">
        <v>12</v>
      </c>
      <c r="B17" s="4">
        <v>3</v>
      </c>
      <c r="C17" s="4">
        <v>3</v>
      </c>
      <c r="E17" s="6" t="str">
        <f t="shared" si="0"/>
        <v>33</v>
      </c>
      <c r="G17" s="13"/>
      <c r="H17" s="8">
        <v>1</v>
      </c>
      <c r="I17" s="8">
        <v>2</v>
      </c>
      <c r="J17" s="8">
        <v>3</v>
      </c>
      <c r="K17" s="8">
        <v>4</v>
      </c>
      <c r="L17" s="15"/>
    </row>
    <row r="18" spans="1:12" x14ac:dyDescent="0.35">
      <c r="A18" s="4">
        <v>13</v>
      </c>
      <c r="B18" s="4">
        <v>1</v>
      </c>
      <c r="C18" s="4">
        <v>1</v>
      </c>
      <c r="E18" s="6" t="str">
        <f t="shared" si="0"/>
        <v>11</v>
      </c>
      <c r="G18" s="8">
        <v>1</v>
      </c>
      <c r="H18" s="2">
        <f>($L10/$L$13)*H$13</f>
        <v>4.8</v>
      </c>
      <c r="I18" s="2">
        <f>($L10/$L$13)*I$13</f>
        <v>2.4</v>
      </c>
      <c r="J18" s="2">
        <f>($L10/$L$13)*J$13</f>
        <v>3</v>
      </c>
      <c r="K18" s="2">
        <f>($L10/$L$13)*K$13</f>
        <v>1.7999999999999998</v>
      </c>
      <c r="L18" s="8">
        <f>SUM(H18:K18)</f>
        <v>12</v>
      </c>
    </row>
    <row r="19" spans="1:12" x14ac:dyDescent="0.35">
      <c r="A19" s="4">
        <v>14</v>
      </c>
      <c r="B19" s="4">
        <v>3</v>
      </c>
      <c r="C19" s="4">
        <v>3</v>
      </c>
      <c r="E19" s="6" t="str">
        <f t="shared" si="0"/>
        <v>33</v>
      </c>
      <c r="G19" s="8">
        <v>2</v>
      </c>
      <c r="H19" s="2">
        <f>($L11/$L$13)*H$13</f>
        <v>2</v>
      </c>
      <c r="I19" s="2">
        <f>($L11/$L$13)*I$13</f>
        <v>1</v>
      </c>
      <c r="J19" s="2">
        <f t="shared" ref="J19" si="4">($L11/$L$13)*J$13</f>
        <v>1.25</v>
      </c>
      <c r="K19" s="2">
        <f>($L11/$L$13)*K$13</f>
        <v>0.75</v>
      </c>
      <c r="L19" s="8">
        <f t="shared" ref="L19:L20" si="5">SUM(H19:K19)</f>
        <v>5</v>
      </c>
    </row>
    <row r="20" spans="1:12" x14ac:dyDescent="0.35">
      <c r="A20" s="4">
        <v>15</v>
      </c>
      <c r="B20" s="4">
        <v>1</v>
      </c>
      <c r="C20" s="4">
        <v>1</v>
      </c>
      <c r="E20" s="6" t="str">
        <f t="shared" si="0"/>
        <v>11</v>
      </c>
      <c r="G20" s="8">
        <v>3</v>
      </c>
      <c r="H20" s="2">
        <f>($L12/$L$13)*H$13</f>
        <v>1.2</v>
      </c>
      <c r="I20" s="2">
        <f t="shared" ref="I20:J20" si="6">($L12/$L$13)*I$13</f>
        <v>0.6</v>
      </c>
      <c r="J20" s="2">
        <f t="shared" si="6"/>
        <v>0.75</v>
      </c>
      <c r="K20" s="2">
        <f>($L12/$L$13)*K$13</f>
        <v>0.44999999999999996</v>
      </c>
      <c r="L20" s="8">
        <f t="shared" si="5"/>
        <v>3</v>
      </c>
    </row>
    <row r="21" spans="1:12" x14ac:dyDescent="0.35">
      <c r="A21" s="4">
        <v>16</v>
      </c>
      <c r="B21" s="4">
        <v>2</v>
      </c>
      <c r="C21" s="4">
        <v>2</v>
      </c>
      <c r="E21" s="6" t="str">
        <f t="shared" si="0"/>
        <v>22</v>
      </c>
      <c r="G21" s="7" t="s">
        <v>8</v>
      </c>
      <c r="H21" s="8">
        <f>SUM(H18:H20)</f>
        <v>8</v>
      </c>
      <c r="I21" s="8">
        <f t="shared" ref="I21" si="7">SUM(I18:I20)</f>
        <v>4</v>
      </c>
      <c r="J21" s="8">
        <f t="shared" ref="J21" si="8">SUM(J18:J20)</f>
        <v>5</v>
      </c>
      <c r="K21" s="8">
        <f t="shared" ref="K21" si="9">SUM(K18:K20)</f>
        <v>3</v>
      </c>
      <c r="L21" s="7">
        <f t="shared" ref="L21" si="10">SUM(L18:L20)</f>
        <v>20</v>
      </c>
    </row>
    <row r="22" spans="1:12" x14ac:dyDescent="0.35">
      <c r="A22" s="4">
        <v>17</v>
      </c>
      <c r="B22" s="4">
        <v>1</v>
      </c>
      <c r="C22" s="4">
        <v>1</v>
      </c>
      <c r="E22" s="6" t="str">
        <f t="shared" si="0"/>
        <v>11</v>
      </c>
    </row>
    <row r="23" spans="1:12" x14ac:dyDescent="0.35">
      <c r="A23" s="4">
        <v>18</v>
      </c>
      <c r="B23" s="4">
        <v>2</v>
      </c>
      <c r="C23" s="4">
        <v>4</v>
      </c>
      <c r="E23" s="6" t="str">
        <f t="shared" si="0"/>
        <v>24</v>
      </c>
      <c r="G23" s="1" t="s">
        <v>10</v>
      </c>
    </row>
    <row r="24" spans="1:12" x14ac:dyDescent="0.35">
      <c r="A24" s="4">
        <v>19</v>
      </c>
      <c r="B24" s="4">
        <v>1</v>
      </c>
      <c r="C24" s="4">
        <v>3</v>
      </c>
      <c r="E24" s="6" t="str">
        <f t="shared" si="0"/>
        <v>13</v>
      </c>
      <c r="G24" s="13" t="s">
        <v>3</v>
      </c>
      <c r="H24" s="13" t="s">
        <v>4</v>
      </c>
      <c r="I24" s="13"/>
      <c r="J24" s="13"/>
      <c r="K24" s="13"/>
      <c r="L24" s="14" t="s">
        <v>8</v>
      </c>
    </row>
    <row r="25" spans="1:12" x14ac:dyDescent="0.35">
      <c r="A25" s="4">
        <v>20</v>
      </c>
      <c r="B25" s="4">
        <v>1</v>
      </c>
      <c r="C25" s="4">
        <v>1</v>
      </c>
      <c r="E25" s="6" t="str">
        <f t="shared" si="0"/>
        <v>11</v>
      </c>
      <c r="G25" s="13"/>
      <c r="H25" s="8">
        <v>1</v>
      </c>
      <c r="I25" s="8">
        <v>2</v>
      </c>
      <c r="J25" s="8">
        <v>3</v>
      </c>
      <c r="K25" s="8">
        <v>4</v>
      </c>
      <c r="L25" s="15"/>
    </row>
    <row r="26" spans="1:12" x14ac:dyDescent="0.35">
      <c r="G26" s="8">
        <v>1</v>
      </c>
      <c r="H26" s="2">
        <f>(POWER(H10-H18,2)/H18)</f>
        <v>2.1333333333333337</v>
      </c>
      <c r="I26" s="2">
        <f t="shared" ref="I26:K26" si="11">(POWER(I10-I18,2)/I18)</f>
        <v>0.81666666666666654</v>
      </c>
      <c r="J26" s="2">
        <f t="shared" si="11"/>
        <v>1.3333333333333333</v>
      </c>
      <c r="K26" s="2">
        <f t="shared" si="11"/>
        <v>2.2222222222222265E-2</v>
      </c>
      <c r="L26" s="8">
        <f>SUM(H26:K26)</f>
        <v>4.3055555555555554</v>
      </c>
    </row>
    <row r="27" spans="1:12" x14ac:dyDescent="0.35">
      <c r="G27" s="8">
        <v>2</v>
      </c>
      <c r="H27" s="2">
        <f t="shared" ref="H27:K27" si="12">(POWER(H11-H19,2)/H19)</f>
        <v>2</v>
      </c>
      <c r="I27" s="2">
        <f t="shared" si="12"/>
        <v>4</v>
      </c>
      <c r="J27" s="2">
        <f t="shared" si="12"/>
        <v>0.05</v>
      </c>
      <c r="K27" s="2">
        <f t="shared" si="12"/>
        <v>8.3333333333333329E-2</v>
      </c>
      <c r="L27" s="8">
        <f t="shared" ref="L27:L28" si="13">SUM(H27:K27)</f>
        <v>6.1333333333333329</v>
      </c>
    </row>
    <row r="28" spans="1:12" x14ac:dyDescent="0.35">
      <c r="G28" s="8">
        <v>3</v>
      </c>
      <c r="H28" s="2">
        <f t="shared" ref="H28:K28" si="14">(POWER(H12-H20,2)/H20)</f>
        <v>1.2</v>
      </c>
      <c r="I28" s="2">
        <f t="shared" si="14"/>
        <v>0.6</v>
      </c>
      <c r="J28" s="2">
        <f t="shared" si="14"/>
        <v>6.75</v>
      </c>
      <c r="K28" s="2">
        <f t="shared" si="14"/>
        <v>0.44999999999999996</v>
      </c>
      <c r="L28" s="8">
        <f t="shared" si="13"/>
        <v>9</v>
      </c>
    </row>
    <row r="29" spans="1:12" x14ac:dyDescent="0.35">
      <c r="G29" s="7" t="s">
        <v>8</v>
      </c>
      <c r="H29" s="8">
        <f>SUM(H26:H28)</f>
        <v>5.3333333333333339</v>
      </c>
      <c r="I29" s="8">
        <f t="shared" ref="I29" si="15">SUM(I26:I28)</f>
        <v>5.4166666666666661</v>
      </c>
      <c r="J29" s="8">
        <f t="shared" ref="J29" si="16">SUM(J26:J28)</f>
        <v>8.1333333333333329</v>
      </c>
      <c r="K29" s="8">
        <f t="shared" ref="K29" si="17">SUM(K26:K28)</f>
        <v>0.55555555555555558</v>
      </c>
      <c r="L29" s="7">
        <f>SUM(L26:L28)</f>
        <v>19.43888888888889</v>
      </c>
    </row>
    <row r="31" spans="1:12" x14ac:dyDescent="0.35">
      <c r="G31" s="9" t="s">
        <v>11</v>
      </c>
      <c r="H31" s="11">
        <f>L29</f>
        <v>19.43888888888889</v>
      </c>
      <c r="I31" s="11"/>
      <c r="J31" s="11"/>
    </row>
    <row r="32" spans="1:12" x14ac:dyDescent="0.35">
      <c r="G32" s="9" t="s">
        <v>12</v>
      </c>
      <c r="H32" s="11">
        <f>CHITEST(H10:K12,H18:K20)</f>
        <v>3.483186000639417E-3</v>
      </c>
      <c r="I32" s="11"/>
      <c r="J32" s="11"/>
    </row>
    <row r="33" spans="7:10" x14ac:dyDescent="0.35">
      <c r="G33" s="9" t="s">
        <v>13</v>
      </c>
      <c r="H33" s="11">
        <f>COUNT(G10:G12)</f>
        <v>3</v>
      </c>
      <c r="I33" s="11"/>
      <c r="J33" s="11"/>
    </row>
    <row r="34" spans="7:10" x14ac:dyDescent="0.35">
      <c r="G34" s="9" t="s">
        <v>14</v>
      </c>
      <c r="H34" s="11">
        <f>COUNT(H9:K9)</f>
        <v>4</v>
      </c>
      <c r="I34" s="11"/>
      <c r="J34" s="11"/>
    </row>
    <row r="35" spans="7:10" x14ac:dyDescent="0.35">
      <c r="G35" s="9" t="s">
        <v>15</v>
      </c>
      <c r="H35" s="11">
        <f>IF(H33&lt;H34,H33,IF(H33&gt;H34,H34,H33))</f>
        <v>3</v>
      </c>
      <c r="I35" s="11"/>
      <c r="J35" s="11"/>
    </row>
    <row r="36" spans="7:10" x14ac:dyDescent="0.35">
      <c r="G36" s="9" t="s">
        <v>16</v>
      </c>
      <c r="H36" s="11">
        <f>SQRT(H31/(L13*(H35-1)))</f>
        <v>0.69711707927881261</v>
      </c>
      <c r="I36" s="11"/>
      <c r="J36" s="11"/>
    </row>
    <row r="37" spans="7:10" x14ac:dyDescent="0.35">
      <c r="G37" s="9" t="s">
        <v>17</v>
      </c>
      <c r="H37" s="11" t="str">
        <f>IF(H32&lt;0.05,"Signifikan","Tidak Signifikan")</f>
        <v>Signifikan</v>
      </c>
      <c r="I37" s="11"/>
      <c r="J37" s="11"/>
    </row>
  </sheetData>
  <mergeCells count="19">
    <mergeCell ref="A1:L1"/>
    <mergeCell ref="A2:L3"/>
    <mergeCell ref="G16:G17"/>
    <mergeCell ref="H16:K16"/>
    <mergeCell ref="L16:L17"/>
    <mergeCell ref="H37:J37"/>
    <mergeCell ref="G5:L5"/>
    <mergeCell ref="H31:J31"/>
    <mergeCell ref="H32:J32"/>
    <mergeCell ref="H33:J33"/>
    <mergeCell ref="H34:J34"/>
    <mergeCell ref="H35:J35"/>
    <mergeCell ref="H36:J36"/>
    <mergeCell ref="G24:G25"/>
    <mergeCell ref="H24:K24"/>
    <mergeCell ref="L24:L25"/>
    <mergeCell ref="H8:K8"/>
    <mergeCell ref="G8:G9"/>
    <mergeCell ref="L8:L9"/>
  </mergeCells>
  <hyperlinks>
    <hyperlink ref="A2:L3" r:id="rId1" display="http://statistikian.blogspot.com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35A86-CA48-4568-8AF6-B12295E9E4A4}">
  <dimension ref="A1:O21"/>
  <sheetViews>
    <sheetView tabSelected="1" zoomScale="82" workbookViewId="0">
      <selection activeCell="I6" sqref="I6"/>
    </sheetView>
  </sheetViews>
  <sheetFormatPr defaultColWidth="9.1796875" defaultRowHeight="14.5" x14ac:dyDescent="0.35"/>
  <cols>
    <col min="1" max="3" width="9.1796875" style="3"/>
    <col min="4" max="4" width="3.453125" style="1" customWidth="1"/>
    <col min="5" max="5" width="14" style="3" customWidth="1"/>
    <col min="6" max="6" width="2.81640625" style="1" customWidth="1"/>
    <col min="7" max="7" width="11.81640625" style="1" customWidth="1"/>
    <col min="8" max="16384" width="9.1796875" style="1"/>
  </cols>
  <sheetData>
    <row r="1" spans="1:15" x14ac:dyDescent="0.35">
      <c r="A1" s="5" t="s">
        <v>2</v>
      </c>
      <c r="B1" s="5" t="s">
        <v>18</v>
      </c>
      <c r="C1" s="5" t="s">
        <v>19</v>
      </c>
      <c r="E1" s="5" t="s">
        <v>5</v>
      </c>
      <c r="G1" s="12" t="s">
        <v>6</v>
      </c>
      <c r="H1" s="12"/>
      <c r="I1" s="12"/>
      <c r="J1" s="12"/>
      <c r="K1" s="12"/>
      <c r="L1" s="12"/>
    </row>
    <row r="2" spans="1:15" x14ac:dyDescent="0.35">
      <c r="A2" s="4">
        <v>1</v>
      </c>
      <c r="B2" s="4">
        <v>1</v>
      </c>
      <c r="C2" s="4">
        <v>1</v>
      </c>
      <c r="E2" s="6" t="str">
        <f>CONCATENATE(B2,C2)</f>
        <v>11</v>
      </c>
      <c r="G2" s="1" t="s">
        <v>7</v>
      </c>
    </row>
    <row r="3" spans="1:15" x14ac:dyDescent="0.35">
      <c r="A3" s="4">
        <v>2</v>
      </c>
      <c r="B3" s="4">
        <v>1</v>
      </c>
      <c r="C3" s="4">
        <v>1</v>
      </c>
      <c r="E3" s="6" t="str">
        <f t="shared" ref="E3:E21" si="0">CONCATENATE(B3,C3)</f>
        <v>11</v>
      </c>
      <c r="G3" s="13" t="s">
        <v>3</v>
      </c>
      <c r="H3" s="10" t="s">
        <v>4</v>
      </c>
      <c r="I3" s="10"/>
      <c r="J3" s="14" t="s">
        <v>8</v>
      </c>
      <c r="L3" s="9" t="s">
        <v>11</v>
      </c>
      <c r="M3" s="11">
        <f>J21</f>
        <v>6.7063492063492047</v>
      </c>
      <c r="N3" s="11"/>
      <c r="O3" s="11"/>
    </row>
    <row r="4" spans="1:15" x14ac:dyDescent="0.35">
      <c r="A4" s="4">
        <v>3</v>
      </c>
      <c r="B4" s="4">
        <v>0</v>
      </c>
      <c r="C4" s="4">
        <v>0</v>
      </c>
      <c r="E4" s="6" t="str">
        <f t="shared" si="0"/>
        <v>00</v>
      </c>
      <c r="G4" s="13"/>
      <c r="H4" s="8">
        <v>1</v>
      </c>
      <c r="I4" s="8">
        <v>0</v>
      </c>
      <c r="J4" s="15"/>
      <c r="L4" s="9" t="s">
        <v>12</v>
      </c>
      <c r="M4" s="11">
        <f>CHITEST(H5:I6,H12:I13)</f>
        <v>9.6070211667259424E-3</v>
      </c>
      <c r="N4" s="11"/>
      <c r="O4" s="11"/>
    </row>
    <row r="5" spans="1:15" x14ac:dyDescent="0.35">
      <c r="A5" s="4">
        <v>4</v>
      </c>
      <c r="B5" s="4">
        <v>1</v>
      </c>
      <c r="C5" s="4">
        <v>1</v>
      </c>
      <c r="E5" s="6" t="str">
        <f t="shared" si="0"/>
        <v>11</v>
      </c>
      <c r="G5" s="8">
        <v>1</v>
      </c>
      <c r="H5" s="2">
        <f>COUNTIF($E$2:$E$21,CONCATENATE($G5,H$4))</f>
        <v>11</v>
      </c>
      <c r="I5" s="2">
        <f>COUNTIF($E$2:$E$21,CONCATENATE($G5,I$4))</f>
        <v>1</v>
      </c>
      <c r="J5" s="8">
        <f>SUM(H5:I5)</f>
        <v>12</v>
      </c>
      <c r="L5" s="9" t="s">
        <v>13</v>
      </c>
      <c r="M5" s="11">
        <f>COUNT(G5:G6)</f>
        <v>2</v>
      </c>
      <c r="N5" s="11"/>
      <c r="O5" s="11"/>
    </row>
    <row r="6" spans="1:15" x14ac:dyDescent="0.35">
      <c r="A6" s="4">
        <v>5</v>
      </c>
      <c r="B6" s="4">
        <v>0</v>
      </c>
      <c r="C6" s="4">
        <v>0</v>
      </c>
      <c r="E6" s="6" t="str">
        <f t="shared" si="0"/>
        <v>00</v>
      </c>
      <c r="G6" s="8">
        <v>0</v>
      </c>
      <c r="H6" s="2">
        <f>COUNTIF($E$2:$E$21,CONCATENATE($G6,H$4))</f>
        <v>3</v>
      </c>
      <c r="I6" s="2">
        <f>COUNTIF($E$2:$E$21,CONCATENATE($G6,I$4))</f>
        <v>5</v>
      </c>
      <c r="J6" s="8">
        <f>SUM(H6:I6)</f>
        <v>8</v>
      </c>
      <c r="L6" s="9" t="s">
        <v>14</v>
      </c>
      <c r="M6" s="11">
        <f>COUNT(H4:I4)</f>
        <v>2</v>
      </c>
      <c r="N6" s="11"/>
      <c r="O6" s="11"/>
    </row>
    <row r="7" spans="1:15" x14ac:dyDescent="0.35">
      <c r="A7" s="4">
        <v>6</v>
      </c>
      <c r="B7" s="4">
        <v>1</v>
      </c>
      <c r="C7" s="4">
        <v>1</v>
      </c>
      <c r="E7" s="6" t="str">
        <f t="shared" si="0"/>
        <v>11</v>
      </c>
      <c r="G7" s="7" t="s">
        <v>8</v>
      </c>
      <c r="H7" s="8">
        <f>SUM(H5:H6)</f>
        <v>14</v>
      </c>
      <c r="I7" s="8">
        <f>SUM(I5:I6)</f>
        <v>6</v>
      </c>
      <c r="J7" s="7">
        <f>SUM(J5:J6)</f>
        <v>20</v>
      </c>
      <c r="L7" s="9" t="s">
        <v>15</v>
      </c>
      <c r="M7" s="11">
        <f>IF(M5&lt;M6,M5,IF(M5&gt;M6,M6,M5))</f>
        <v>2</v>
      </c>
      <c r="N7" s="11"/>
      <c r="O7" s="11"/>
    </row>
    <row r="8" spans="1:15" x14ac:dyDescent="0.35">
      <c r="A8" s="4">
        <v>7</v>
      </c>
      <c r="B8" s="4">
        <v>1</v>
      </c>
      <c r="C8" s="4">
        <v>1</v>
      </c>
      <c r="E8" s="6" t="str">
        <f t="shared" si="0"/>
        <v>11</v>
      </c>
      <c r="L8" s="9" t="s">
        <v>16</v>
      </c>
      <c r="M8" s="11">
        <f>SQRT(M3/(J7*(M7-1)))</f>
        <v>0.5790660241435861</v>
      </c>
      <c r="N8" s="11"/>
      <c r="O8" s="11"/>
    </row>
    <row r="9" spans="1:15" x14ac:dyDescent="0.35">
      <c r="A9" s="4">
        <v>8</v>
      </c>
      <c r="B9" s="4">
        <v>0</v>
      </c>
      <c r="C9" s="4">
        <v>1</v>
      </c>
      <c r="E9" s="6" t="str">
        <f t="shared" si="0"/>
        <v>01</v>
      </c>
      <c r="G9" s="1" t="s">
        <v>9</v>
      </c>
      <c r="L9" s="9" t="s">
        <v>17</v>
      </c>
      <c r="M9" s="11" t="str">
        <f>IF(M4&lt;0.05,"Signifikan","Tidak Signifikan")</f>
        <v>Signifikan</v>
      </c>
      <c r="N9" s="11"/>
      <c r="O9" s="11"/>
    </row>
    <row r="10" spans="1:15" x14ac:dyDescent="0.35">
      <c r="A10" s="4">
        <v>9</v>
      </c>
      <c r="B10" s="4">
        <v>1</v>
      </c>
      <c r="C10" s="4">
        <v>1</v>
      </c>
      <c r="E10" s="6" t="str">
        <f t="shared" si="0"/>
        <v>11</v>
      </c>
      <c r="G10" s="13" t="s">
        <v>3</v>
      </c>
      <c r="H10" s="10" t="s">
        <v>4</v>
      </c>
      <c r="I10" s="10"/>
      <c r="J10" s="14" t="s">
        <v>8</v>
      </c>
    </row>
    <row r="11" spans="1:15" x14ac:dyDescent="0.35">
      <c r="A11" s="4">
        <v>10</v>
      </c>
      <c r="B11" s="4">
        <v>0</v>
      </c>
      <c r="C11" s="4">
        <v>0</v>
      </c>
      <c r="E11" s="6" t="str">
        <f t="shared" si="0"/>
        <v>00</v>
      </c>
      <c r="G11" s="13"/>
      <c r="H11" s="8">
        <v>1</v>
      </c>
      <c r="I11" s="8">
        <v>0</v>
      </c>
      <c r="J11" s="15"/>
    </row>
    <row r="12" spans="1:15" x14ac:dyDescent="0.35">
      <c r="A12" s="4">
        <v>11</v>
      </c>
      <c r="B12" s="4">
        <v>1</v>
      </c>
      <c r="C12" s="4">
        <v>1</v>
      </c>
      <c r="E12" s="6" t="str">
        <f t="shared" si="0"/>
        <v>11</v>
      </c>
      <c r="G12" s="8">
        <v>1</v>
      </c>
      <c r="H12" s="2">
        <f>($J5/$J$7)*H$7</f>
        <v>8.4</v>
      </c>
      <c r="I12" s="2">
        <f>($J5/$J$7)*I$7</f>
        <v>3.5999999999999996</v>
      </c>
      <c r="J12" s="8">
        <f>SUM(H12:I12)</f>
        <v>12</v>
      </c>
    </row>
    <row r="13" spans="1:15" x14ac:dyDescent="0.35">
      <c r="A13" s="4">
        <v>12</v>
      </c>
      <c r="B13" s="4">
        <v>0</v>
      </c>
      <c r="C13" s="4">
        <v>1</v>
      </c>
      <c r="E13" s="6" t="str">
        <f t="shared" si="0"/>
        <v>01</v>
      </c>
      <c r="G13" s="8">
        <v>0</v>
      </c>
      <c r="H13" s="2">
        <f>($J6/$J$7)*H$7</f>
        <v>5.6000000000000005</v>
      </c>
      <c r="I13" s="2">
        <f>($J6/$J$7)*I$7</f>
        <v>2.4000000000000004</v>
      </c>
      <c r="J13" s="8">
        <f>SUM(H13:I13)</f>
        <v>8</v>
      </c>
    </row>
    <row r="14" spans="1:15" x14ac:dyDescent="0.35">
      <c r="A14" s="4">
        <v>13</v>
      </c>
      <c r="B14" s="4">
        <v>1</v>
      </c>
      <c r="C14" s="4">
        <v>1</v>
      </c>
      <c r="E14" s="6" t="str">
        <f t="shared" si="0"/>
        <v>11</v>
      </c>
      <c r="G14" s="7" t="s">
        <v>8</v>
      </c>
      <c r="H14" s="8">
        <f>SUM(H12:H13)</f>
        <v>14</v>
      </c>
      <c r="I14" s="8">
        <f>SUM(I12:I13)</f>
        <v>6</v>
      </c>
      <c r="J14" s="7">
        <f>SUM(J12:J13)</f>
        <v>20</v>
      </c>
    </row>
    <row r="15" spans="1:15" x14ac:dyDescent="0.35">
      <c r="A15" s="4">
        <v>14</v>
      </c>
      <c r="B15" s="4">
        <v>0</v>
      </c>
      <c r="C15" s="4">
        <v>1</v>
      </c>
      <c r="E15" s="6" t="str">
        <f t="shared" si="0"/>
        <v>01</v>
      </c>
    </row>
    <row r="16" spans="1:15" x14ac:dyDescent="0.35">
      <c r="A16" s="4">
        <v>15</v>
      </c>
      <c r="B16" s="4">
        <v>1</v>
      </c>
      <c r="C16" s="4">
        <v>1</v>
      </c>
      <c r="E16" s="6" t="str">
        <f t="shared" si="0"/>
        <v>11</v>
      </c>
      <c r="G16" s="1" t="s">
        <v>10</v>
      </c>
    </row>
    <row r="17" spans="1:10" x14ac:dyDescent="0.35">
      <c r="A17" s="4">
        <v>16</v>
      </c>
      <c r="B17" s="4">
        <v>0</v>
      </c>
      <c r="C17" s="4">
        <v>0</v>
      </c>
      <c r="E17" s="6" t="str">
        <f t="shared" si="0"/>
        <v>00</v>
      </c>
      <c r="G17" s="13" t="s">
        <v>3</v>
      </c>
      <c r="H17" s="18" t="s">
        <v>4</v>
      </c>
      <c r="I17" s="19"/>
      <c r="J17" s="14" t="s">
        <v>8</v>
      </c>
    </row>
    <row r="18" spans="1:10" x14ac:dyDescent="0.35">
      <c r="A18" s="4">
        <v>17</v>
      </c>
      <c r="B18" s="4">
        <v>1</v>
      </c>
      <c r="C18" s="4">
        <v>1</v>
      </c>
      <c r="E18" s="6" t="str">
        <f t="shared" si="0"/>
        <v>11</v>
      </c>
      <c r="G18" s="13"/>
      <c r="H18" s="8">
        <v>1</v>
      </c>
      <c r="I18" s="8">
        <v>0</v>
      </c>
      <c r="J18" s="15"/>
    </row>
    <row r="19" spans="1:10" x14ac:dyDescent="0.35">
      <c r="A19" s="4">
        <v>18</v>
      </c>
      <c r="B19" s="4">
        <v>0</v>
      </c>
      <c r="C19" s="4">
        <v>0</v>
      </c>
      <c r="E19" s="6" t="str">
        <f t="shared" si="0"/>
        <v>00</v>
      </c>
      <c r="G19" s="8">
        <v>1</v>
      </c>
      <c r="H19" s="2">
        <f>(POWER(H5-H12,2)/H12)</f>
        <v>0.80476190476190446</v>
      </c>
      <c r="I19" s="2">
        <f>(POWER(I5-I12,2)/I12)</f>
        <v>1.8777777777777773</v>
      </c>
      <c r="J19" s="8">
        <f>SUM(H19:I19)</f>
        <v>2.6825396825396819</v>
      </c>
    </row>
    <row r="20" spans="1:10" x14ac:dyDescent="0.35">
      <c r="A20" s="4">
        <v>19</v>
      </c>
      <c r="B20" s="4">
        <v>1</v>
      </c>
      <c r="C20" s="4">
        <v>0</v>
      </c>
      <c r="E20" s="6" t="str">
        <f t="shared" si="0"/>
        <v>10</v>
      </c>
      <c r="G20" s="8">
        <v>0</v>
      </c>
      <c r="H20" s="2">
        <f>(POWER(H6-H13,2)/H13)</f>
        <v>1.2071428571428575</v>
      </c>
      <c r="I20" s="2">
        <f>(POWER(I6-I13,2)/I13)</f>
        <v>2.8166666666666655</v>
      </c>
      <c r="J20" s="8">
        <f>SUM(H20:I20)</f>
        <v>4.0238095238095228</v>
      </c>
    </row>
    <row r="21" spans="1:10" x14ac:dyDescent="0.35">
      <c r="A21" s="4">
        <v>20</v>
      </c>
      <c r="B21" s="4">
        <v>1</v>
      </c>
      <c r="C21" s="4">
        <v>1</v>
      </c>
      <c r="E21" s="6" t="str">
        <f t="shared" si="0"/>
        <v>11</v>
      </c>
      <c r="G21" s="7" t="s">
        <v>8</v>
      </c>
      <c r="H21" s="8">
        <f>SUM(H19:H20)</f>
        <v>2.0119047619047619</v>
      </c>
      <c r="I21" s="8">
        <f>SUM(I19:I20)</f>
        <v>4.6944444444444429</v>
      </c>
      <c r="J21" s="7">
        <f>SUM(J19:J20)</f>
        <v>6.7063492063492047</v>
      </c>
    </row>
  </sheetData>
  <mergeCells count="15">
    <mergeCell ref="G10:G11"/>
    <mergeCell ref="J10:J11"/>
    <mergeCell ref="G17:G18"/>
    <mergeCell ref="J17:J18"/>
    <mergeCell ref="G1:L1"/>
    <mergeCell ref="G3:G4"/>
    <mergeCell ref="J3:J4"/>
    <mergeCell ref="M9:O9"/>
    <mergeCell ref="H17:I17"/>
    <mergeCell ref="M3:O3"/>
    <mergeCell ref="M4:O4"/>
    <mergeCell ref="M5:O5"/>
    <mergeCell ref="M6:O6"/>
    <mergeCell ref="M7:O7"/>
    <mergeCell ref="M8:O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Cramer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Anwar</dc:creator>
  <cp:keywords/>
  <dc:description/>
  <cp:lastModifiedBy>Juli Yandi Rahman</cp:lastModifiedBy>
  <cp:revision/>
  <dcterms:created xsi:type="dcterms:W3CDTF">2012-11-10T05:44:19Z</dcterms:created>
  <dcterms:modified xsi:type="dcterms:W3CDTF">2024-10-25T14:43:47Z</dcterms:modified>
  <cp:category/>
  <cp:contentStatus/>
</cp:coreProperties>
</file>